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cad\Documents\GitHub\woodridgekiosk_data\data\"/>
    </mc:Choice>
  </mc:AlternateContent>
  <xr:revisionPtr revIDLastSave="0" documentId="13_ncr:1_{A3B7D62D-7A25-43B5-A793-9250A6FEC841}" xr6:coauthVersionLast="47" xr6:coauthVersionMax="47" xr10:uidLastSave="{00000000-0000-0000-0000-000000000000}"/>
  <bookViews>
    <workbookView xWindow="-120" yWindow="-120" windowWidth="38640" windowHeight="21120" xr2:uid="{C3B16AE4-2769-4D4A-873D-E4008F1BC8D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 a="1"/>
  <c r="N6" i="1" a="1"/>
  <c r="O10" i="1" a="1"/>
  <c r="M6" i="1" a="1"/>
  <c r="N2" i="1" a="1"/>
  <c r="M10" i="1" a="1"/>
  <c r="O6" i="1" a="1"/>
  <c r="O3" i="1" a="1"/>
  <c r="N9" i="1" a="1"/>
  <c r="N5" i="1" a="1"/>
  <c r="O9" i="1" a="1"/>
  <c r="O5" i="1" a="1"/>
  <c r="M9" i="1" a="1"/>
  <c r="M5" i="1" a="1"/>
  <c r="N8" i="1" a="1"/>
  <c r="M4" i="1" a="1"/>
  <c r="O8" i="1" a="1"/>
  <c r="O4" i="1" a="1"/>
  <c r="M8" i="1" a="1"/>
  <c r="N4" i="1" a="1"/>
  <c r="N7" i="1" a="1"/>
  <c r="N3" i="1" a="1"/>
  <c r="O7" i="1" a="1"/>
  <c r="M7" i="1" a="1"/>
  <c r="M3" i="1" a="1"/>
  <c r="O2" i="1" a="1"/>
  <c r="M2" i="1" a="1"/>
  <c r="M2" i="1" l="1"/>
  <c r="O2" i="1"/>
  <c r="M3" i="1"/>
  <c r="M7" i="1"/>
  <c r="O7" i="1"/>
  <c r="N3" i="1"/>
  <c r="N7" i="1"/>
  <c r="N4" i="1"/>
  <c r="M8" i="1"/>
  <c r="O4" i="1"/>
  <c r="O8" i="1"/>
  <c r="M4" i="1"/>
  <c r="N8" i="1"/>
  <c r="M5" i="1"/>
  <c r="M9" i="1"/>
  <c r="O5" i="1"/>
  <c r="O9" i="1"/>
  <c r="N5" i="1"/>
  <c r="N9" i="1"/>
  <c r="O3" i="1"/>
  <c r="O6" i="1"/>
  <c r="M10" i="1"/>
  <c r="N2" i="1"/>
  <c r="M6" i="1"/>
  <c r="O10" i="1"/>
  <c r="N6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<sst xmlns="http://schemas.openxmlformats.org/spreadsheetml/2006/main" count="133" uniqueCount="87">
  <si>
    <t>business_name</t>
  </si>
  <si>
    <t>address</t>
  </si>
  <si>
    <t>contact_number</t>
  </si>
  <si>
    <t>website_url</t>
  </si>
  <si>
    <t>business_category</t>
  </si>
  <si>
    <t>hours_mon</t>
  </si>
  <si>
    <t>hours_tue</t>
  </si>
  <si>
    <t>hours_wed</t>
  </si>
  <si>
    <t>hours_fri</t>
  </si>
  <si>
    <t>hours_sat</t>
  </si>
  <si>
    <t>hours_sun</t>
  </si>
  <si>
    <t>loc_lat</t>
  </si>
  <si>
    <t>loc_long</t>
  </si>
  <si>
    <t>Carrabba's Italian Grill</t>
  </si>
  <si>
    <t>1001 75th St, Woodridge, IL 60517</t>
  </si>
  <si>
    <t>(630) 427-0900</t>
  </si>
  <si>
    <t>11:00 am - 10:00 pm</t>
  </si>
  <si>
    <t>11:00 am - 11:00 pm</t>
  </si>
  <si>
    <t>11:00 am - 9:00 pm</t>
  </si>
  <si>
    <t>coordinates</t>
  </si>
  <si>
    <t xml:space="preserve"> Italian Restaurants, Bar &amp; Grills, Family Style Restaurants, Restaurants</t>
  </si>
  <si>
    <t>Tilted Kilt</t>
  </si>
  <si>
    <t>6320 Route 53, Woodridge, IL 60517</t>
  </si>
  <si>
    <t>(331) 481-5071</t>
  </si>
  <si>
    <t>www.tiltedkilt.com</t>
  </si>
  <si>
    <t>Barbecue Restaurants, American Restaurants, Bar &amp; Grills, Bars, Restaurants, Sports Bars</t>
  </si>
  <si>
    <t>11:00 am - 11:30 pm</t>
  </si>
  <si>
    <t>Blue Line Bar &amp; Grill</t>
  </si>
  <si>
    <t>6690 Route 53, Woodridge, IL 60517</t>
  </si>
  <si>
    <t>(630) 968-1518</t>
  </si>
  <si>
    <t>Barbecue Restaurants, Bar &amp; Grills, Bars, Restaurants</t>
  </si>
  <si>
    <t>11:00 am - 1:00 pm</t>
  </si>
  <si>
    <t>11:00 am - 2:00 pm</t>
  </si>
  <si>
    <t>8:00 am - 2:00 pm</t>
  </si>
  <si>
    <t>8:00 am - 1:00 pm</t>
  </si>
  <si>
    <t>Pinnacle Automotive at Seven Bridges</t>
  </si>
  <si>
    <t>6809 Hobson Valley Dr Ste 115, Woodridge, IL 60517</t>
  </si>
  <si>
    <t>(630) 512-0516</t>
  </si>
  <si>
    <t>Auto Repair &amp; Service</t>
  </si>
  <si>
    <t>8:00 am - 5:00 pm</t>
  </si>
  <si>
    <t>Closed</t>
  </si>
  <si>
    <t>C&amp;C Car Care</t>
  </si>
  <si>
    <t>1000 75th St, Downers Grove, IL 60516</t>
  </si>
  <si>
    <t>(331) 777-2989</t>
  </si>
  <si>
    <t>8:00 am - 6:00 pm</t>
  </si>
  <si>
    <t>8:00 am - 3:00 pm</t>
  </si>
  <si>
    <t>Gordon Food Service Store</t>
  </si>
  <si>
    <t>2025 87th St, Woodridge, IL 60517</t>
  </si>
  <si>
    <t>(630) 972-7230</t>
  </si>
  <si>
    <t>Grocery Stores</t>
  </si>
  <si>
    <t>7:00 am - 7:00 pm</t>
  </si>
  <si>
    <t>9:00 am - 6:00 pm</t>
  </si>
  <si>
    <t>Convenient Food Mart</t>
  </si>
  <si>
    <t>8288 Janes Ave, Woodridge, IL 60517</t>
  </si>
  <si>
    <t>(630) 910-0757</t>
  </si>
  <si>
    <t>Convenience Stores, Gas Stations, Grocery Stores</t>
  </si>
  <si>
    <t>6:00 am - 11:30 pm</t>
  </si>
  <si>
    <t>Seven Bridges Nail &amp; Spa</t>
  </si>
  <si>
    <t>6435 Main St, Woodridge, IL 60517</t>
  </si>
  <si>
    <t>(630) 737-1999</t>
  </si>
  <si>
    <t>Nail Salons</t>
  </si>
  <si>
    <t>10:00 am - 8:00 pm</t>
  </si>
  <si>
    <t>9:00 am - 8:00 pm</t>
  </si>
  <si>
    <t>9:00 am - 7:00 pm</t>
  </si>
  <si>
    <t>11:00 am - 5:00 pm</t>
  </si>
  <si>
    <t>Lily Nails</t>
  </si>
  <si>
    <t>1001 75th St Ste 179A, Woodridge, IL 60517</t>
  </si>
  <si>
    <t>(630) 985-8385</t>
  </si>
  <si>
    <t>Nail Salons, Day Spas</t>
  </si>
  <si>
    <t>11:00 am - 8:00 pm</t>
  </si>
  <si>
    <t>11:00 am - 4:00 pm</t>
  </si>
  <si>
    <t>hours_thu</t>
  </si>
  <si>
    <t>path</t>
  </si>
  <si>
    <t>data/images/Carrabba's Italian Grill.jpg</t>
  </si>
  <si>
    <t>data/images/Tilted Kilt.jpg</t>
  </si>
  <si>
    <t>data/images/Blue Line Bar &amp; Grill.jpg</t>
  </si>
  <si>
    <t>data/images/Pinnacle Automotive at Seven Bridges.jpg</t>
  </si>
  <si>
    <t>data/images/C&amp;C Car Care.jpg</t>
  </si>
  <si>
    <t>data/images/Gordon Food Service Store.jpg</t>
  </si>
  <si>
    <t>data/images/Convenient Food Mart.jpg</t>
  </si>
  <si>
    <t>data/images/Seven Bridges Nail &amp; Spa.png</t>
  </si>
  <si>
    <t>data/images/Lily Nails.jpg</t>
  </si>
  <si>
    <t>none</t>
  </si>
  <si>
    <t>www.carrabbas.com</t>
  </si>
  <si>
    <t>www.bluelinegrill.com</t>
  </si>
  <si>
    <t>www.pinnacleautomotivewoodridge.com</t>
  </si>
  <si>
    <t>www.gfsstore.com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</si>
</sst>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luelinegrill.com/" TargetMode="External"/><Relationship Id="rId2" Type="http://schemas.openxmlformats.org/officeDocument/2006/relationships/hyperlink" Target="http://www.tiltedkilt.com/" TargetMode="External"/><Relationship Id="rId1" Type="http://schemas.openxmlformats.org/officeDocument/2006/relationships/hyperlink" Target="http://www.carrabbas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gfsstore.com/" TargetMode="External"/><Relationship Id="rId4" Type="http://schemas.openxmlformats.org/officeDocument/2006/relationships/hyperlink" Target="http://www.pinnacleautomotivewoodridg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5EE3F-823A-4D3E-B45C-6DF6AE2D13D4}">
  <sheetPr codeName="Sheet1"/>
  <dimension ref="A1:P10"/>
  <sheetViews>
    <sheetView tabSelected="1" workbookViewId="0">
      <selection activeCell="D13" sqref="D13"/>
    </sheetView>
  </sheetViews>
  <sheetFormatPr defaultRowHeight="15" x14ac:dyDescent="0.25"/>
  <cols>
    <col min="1" max="1" width="21.42578125" bestFit="1" customWidth="1"/>
    <col min="2" max="2" width="30.28515625" bestFit="1" customWidth="1"/>
    <col min="3" max="3" width="15.42578125" bestFit="1" customWidth="1"/>
    <col min="4" max="4" width="24.85546875" customWidth="1"/>
    <col min="5" max="5" width="17.5703125" bestFit="1" customWidth="1"/>
    <col min="6" max="11" width="18.5703125" bestFit="1" customWidth="1"/>
    <col min="12" max="12" width="17.5703125" bestFit="1" customWidth="1"/>
    <col min="13" max="13" width="6.85546875" bestFit="1" customWidth="1"/>
    <col min="14" max="14" width="8.42578125" bestFit="1" customWidth="1"/>
    <col min="15" max="15" width="22.285156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71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19</v>
      </c>
      <c r="P1" t="s">
        <v>72</v>
      </c>
    </row>
    <row r="2" spans="1:16" x14ac:dyDescent="0.25">
      <c r="A2" t="s">
        <v>13</v>
      </c>
      <c r="B2" t="s">
        <v>14</v>
      </c>
      <c r="C2" t="s">
        <v>15</v>
      </c>
      <c r="D2" s="1" t="s">
        <v>83</v>
      </c>
      <c r="E2" t="s">
        <v>20</v>
      </c>
      <c r="F2" t="s">
        <v>16</v>
      </c>
      <c r="G2" t="s">
        <v>16</v>
      </c>
      <c r="H2" t="s">
        <v>16</v>
      </c>
      <c r="I2" t="s">
        <v>16</v>
      </c>
      <c r="J2" t="s">
        <v>17</v>
      </c>
      <c r="K2" t="s">
        <v>17</v>
      </c>
      <c r="L2" t="s">
        <v>18</v>
      </c>
      <c r="M2" cm="1">
        <f t="array" ref="M2">GetLatitude(B2)</f>
        <v>41.749248299999998</v>
      </c>
      <c r="N2" cm="1">
        <f t="array" ref="N2">GetLongitude(B2)</f>
        <v>-88.013277099999996</v>
      </c>
      <c r="O2" t="str" cm="1">
        <f t="array" ref="O2">GetCoordinates(B2)</f>
        <v>41.7492483, -88.0132771</v>
      </c>
      <c r="P2" t="s">
        <v>73</v>
      </c>
    </row>
    <row r="3" spans="1:16" x14ac:dyDescent="0.25">
      <c r="A3" t="s">
        <v>21</v>
      </c>
      <c r="B3" t="s">
        <v>22</v>
      </c>
      <c r="C3" t="s">
        <v>23</v>
      </c>
      <c r="D3" s="1" t="s">
        <v>24</v>
      </c>
      <c r="E3" t="s">
        <v>25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cm="1">
        <f t="array" ref="M3">GetLatitude(B3)</f>
        <v>41.770072800000001</v>
      </c>
      <c r="N3" cm="1">
        <f t="array" ref="N3">GetLongitude(B3)</f>
        <v>-88.070302799999993</v>
      </c>
      <c r="O3" t="str" cm="1">
        <f t="array" ref="O3">GetCoordinates(B3)</f>
        <v>41.7700728, -88.0703028</v>
      </c>
      <c r="P3" t="s">
        <v>74</v>
      </c>
    </row>
    <row r="4" spans="1:16" x14ac:dyDescent="0.25">
      <c r="A4" t="s">
        <v>27</v>
      </c>
      <c r="B4" t="s">
        <v>28</v>
      </c>
      <c r="C4" t="s">
        <v>29</v>
      </c>
      <c r="D4" s="1" t="s">
        <v>84</v>
      </c>
      <c r="E4" t="s">
        <v>30</v>
      </c>
      <c r="F4" t="s">
        <v>31</v>
      </c>
      <c r="G4" t="s">
        <v>31</v>
      </c>
      <c r="H4" t="s">
        <v>31</v>
      </c>
      <c r="I4" t="s">
        <v>31</v>
      </c>
      <c r="J4" t="s">
        <v>32</v>
      </c>
      <c r="K4" t="s">
        <v>33</v>
      </c>
      <c r="L4" t="s">
        <v>34</v>
      </c>
      <c r="M4" cm="1">
        <f t="array" ref="M4">GetLatitude(B4)</f>
        <v>41.7638569</v>
      </c>
      <c r="N4" cm="1">
        <f t="array" ref="N4">GetLongitude(B4)</f>
        <v>-88.067538299999995</v>
      </c>
      <c r="O4" t="str" cm="1">
        <f t="array" ref="O4">GetCoordinates(B4)</f>
        <v>41.7638569, -88.0675383</v>
      </c>
      <c r="P4" t="s">
        <v>75</v>
      </c>
    </row>
    <row r="5" spans="1:16" x14ac:dyDescent="0.25">
      <c r="A5" t="s">
        <v>35</v>
      </c>
      <c r="B5" t="s">
        <v>36</v>
      </c>
      <c r="C5" t="s">
        <v>37</v>
      </c>
      <c r="D5" s="1" t="s">
        <v>85</v>
      </c>
      <c r="E5" t="s">
        <v>38</v>
      </c>
      <c r="F5" t="s">
        <v>39</v>
      </c>
      <c r="G5" t="s">
        <v>39</v>
      </c>
      <c r="H5" t="s">
        <v>39</v>
      </c>
      <c r="I5" t="s">
        <v>39</v>
      </c>
      <c r="J5" t="s">
        <v>39</v>
      </c>
      <c r="K5" t="s">
        <v>40</v>
      </c>
      <c r="L5" t="s">
        <v>40</v>
      </c>
      <c r="M5" cm="1">
        <f t="array" ref="M5">GetLatitude(B5)</f>
        <v>41.7628798</v>
      </c>
      <c r="N5" cm="1">
        <f t="array" ref="N5">GetLongitude(B5)</f>
        <v>-88.067858900000004</v>
      </c>
      <c r="O5" t="str" cm="1">
        <f t="array" ref="O5">GetCoordinates(B5)</f>
        <v>41.7628798, -88.0678589</v>
      </c>
      <c r="P5" t="s">
        <v>76</v>
      </c>
    </row>
    <row r="6" spans="1:16" x14ac:dyDescent="0.25">
      <c r="A6" t="s">
        <v>41</v>
      </c>
      <c r="B6" t="s">
        <v>42</v>
      </c>
      <c r="C6" t="s">
        <v>43</v>
      </c>
      <c r="D6" s="1" t="s">
        <v>82</v>
      </c>
      <c r="E6" t="s">
        <v>38</v>
      </c>
      <c r="F6" t="s">
        <v>44</v>
      </c>
      <c r="G6" t="s">
        <v>44</v>
      </c>
      <c r="H6" t="s">
        <v>44</v>
      </c>
      <c r="I6" t="s">
        <v>44</v>
      </c>
      <c r="J6" t="s">
        <v>44</v>
      </c>
      <c r="K6" t="s">
        <v>45</v>
      </c>
      <c r="L6" t="s">
        <v>40</v>
      </c>
      <c r="M6" cm="1">
        <f t="array" ref="M6">GetLatitude(B6)</f>
        <v>41.751836099999998</v>
      </c>
      <c r="N6" cm="1">
        <f t="array" ref="N6">GetLongitude(B6)</f>
        <v>-88.009090799999996</v>
      </c>
      <c r="O6" t="str" cm="1">
        <f t="array" ref="O6">GetCoordinates(B6)</f>
        <v>41.7518361, -88.0090908</v>
      </c>
      <c r="P6" t="s">
        <v>77</v>
      </c>
    </row>
    <row r="7" spans="1:16" x14ac:dyDescent="0.25">
      <c r="A7" t="s">
        <v>46</v>
      </c>
      <c r="B7" t="s">
        <v>47</v>
      </c>
      <c r="C7" t="s">
        <v>48</v>
      </c>
      <c r="D7" s="1" t="s">
        <v>86</v>
      </c>
      <c r="E7" t="s">
        <v>49</v>
      </c>
      <c r="F7" t="s">
        <v>50</v>
      </c>
      <c r="G7" t="s">
        <v>50</v>
      </c>
      <c r="H7" t="s">
        <v>40</v>
      </c>
      <c r="I7" t="s">
        <v>50</v>
      </c>
      <c r="J7" t="s">
        <v>50</v>
      </c>
      <c r="K7" t="s">
        <v>50</v>
      </c>
      <c r="L7" t="s">
        <v>51</v>
      </c>
      <c r="M7" cm="1">
        <f t="array" ref="M7">GetLatitude(B7)</f>
        <v>41.725508099999999</v>
      </c>
      <c r="N7" cm="1">
        <f t="array" ref="N7">GetLongitude(B7)</f>
        <v>-88.029673500000001</v>
      </c>
      <c r="O7" t="str" cm="1">
        <f t="array" ref="O7">GetCoordinates(B7)</f>
        <v>41.7255081, -88.0296735</v>
      </c>
      <c r="P7" t="s">
        <v>78</v>
      </c>
    </row>
    <row r="8" spans="1:16" x14ac:dyDescent="0.25">
      <c r="A8" t="s">
        <v>52</v>
      </c>
      <c r="B8" t="s">
        <v>53</v>
      </c>
      <c r="C8" t="s">
        <v>54</v>
      </c>
      <c r="D8" s="1" t="s">
        <v>82</v>
      </c>
      <c r="E8" t="s">
        <v>55</v>
      </c>
      <c r="F8" t="s">
        <v>56</v>
      </c>
      <c r="G8" t="s">
        <v>56</v>
      </c>
      <c r="H8" t="s">
        <v>56</v>
      </c>
      <c r="I8" t="s">
        <v>56</v>
      </c>
      <c r="J8" t="s">
        <v>56</v>
      </c>
      <c r="K8" t="s">
        <v>56</v>
      </c>
      <c r="L8" t="s">
        <v>56</v>
      </c>
      <c r="M8" cm="1">
        <f t="array" ref="M8">GetLatitude(B8)</f>
        <v>41.7362927</v>
      </c>
      <c r="N8" cm="1">
        <f t="array" ref="N8">GetLongitude(B8)</f>
        <v>-88.040373200000005</v>
      </c>
      <c r="O8" t="str" cm="1">
        <f t="array" ref="O8">GetCoordinates(B8)</f>
        <v>41.7362927, -88.0403732</v>
      </c>
      <c r="P8" t="s">
        <v>79</v>
      </c>
    </row>
    <row r="9" spans="1:16" x14ac:dyDescent="0.25">
      <c r="A9" t="s">
        <v>57</v>
      </c>
      <c r="B9" t="s">
        <v>58</v>
      </c>
      <c r="C9" t="s">
        <v>59</v>
      </c>
      <c r="D9" s="1" t="s">
        <v>82</v>
      </c>
      <c r="E9" t="s">
        <v>60</v>
      </c>
      <c r="F9" t="s">
        <v>61</v>
      </c>
      <c r="G9" t="s">
        <v>61</v>
      </c>
      <c r="H9" t="s">
        <v>61</v>
      </c>
      <c r="I9" t="s">
        <v>61</v>
      </c>
      <c r="J9" t="s">
        <v>62</v>
      </c>
      <c r="K9" t="s">
        <v>63</v>
      </c>
      <c r="L9" t="s">
        <v>64</v>
      </c>
      <c r="M9" cm="1">
        <f t="array" ref="M9">GetLatitude(B9)</f>
        <v>41.7691278</v>
      </c>
      <c r="N9" cm="1">
        <f t="array" ref="N9">GetLongitude(B9)</f>
        <v>-88.070001899999994</v>
      </c>
      <c r="O9" t="str" cm="1">
        <f t="array" ref="O9">GetCoordinates(B9)</f>
        <v>41.7691278, -88.0700019</v>
      </c>
      <c r="P9" t="s">
        <v>80</v>
      </c>
    </row>
    <row r="10" spans="1:16" x14ac:dyDescent="0.25">
      <c r="A10" t="s">
        <v>65</v>
      </c>
      <c r="B10" t="s">
        <v>66</v>
      </c>
      <c r="C10" t="s">
        <v>67</v>
      </c>
      <c r="D10" s="1" t="s">
        <v>82</v>
      </c>
      <c r="E10" t="s">
        <v>68</v>
      </c>
      <c r="F10" t="s">
        <v>40</v>
      </c>
      <c r="G10" t="s">
        <v>69</v>
      </c>
      <c r="H10" t="s">
        <v>61</v>
      </c>
      <c r="I10" t="s">
        <v>61</v>
      </c>
      <c r="J10" t="s">
        <v>61</v>
      </c>
      <c r="K10" t="s">
        <v>51</v>
      </c>
      <c r="L10" t="s">
        <v>70</v>
      </c>
      <c r="M10" cm="1">
        <f t="array" ref="M10">GetLatitude(B10)</f>
        <v>41.749341800000003</v>
      </c>
      <c r="N10" cm="1">
        <f t="array" ref="N10">GetLongitude(B10)</f>
        <v>-88.013793100000001</v>
      </c>
      <c r="O10" t="str" cm="1">
        <f t="array" ref="O10">GetCoordinates(B10)</f>
        <v>41.7493418, -88.0137931</v>
      </c>
      <c r="P10" t="s">
        <v>81</v>
      </c>
    </row>
  </sheetData>
  <hyperlinks>
    <hyperlink ref="D2" r:id="rId1" xr:uid="{178153A0-9386-43F3-A655-C7831E9A99FF}"/>
    <hyperlink ref="D3" r:id="rId2" xr:uid="{391A8F4B-71B9-485F-A6CA-E17FDEA8708C}"/>
    <hyperlink ref="D4" r:id="rId3" xr:uid="{E81AB8D7-BE82-4BEC-B934-6E47276126AE}"/>
    <hyperlink ref="D5" r:id="rId4" xr:uid="{298DB92D-46EA-4936-BB3B-A01BFB2426F9}"/>
    <hyperlink ref="D7" r:id="rId5" xr:uid="{0A3EB429-DB4C-4648-BA5A-A976A451D3C0}"/>
  </hyperlinks>
  <pageMargins left="0.7" right="0.7" top="0.75" bottom="0.75" header="0.3" footer="0.3"/>
  <pageSetup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Mycah Accad</dc:creator>
  <cp:lastModifiedBy>Mycah Accad</cp:lastModifiedBy>
  <dcterms:created xsi:type="dcterms:W3CDTF">2025-03-01T16:38:45Z</dcterms:created>
  <dcterms:modified xsi:type="dcterms:W3CDTF">2025-03-01T20:40:59Z</dcterms:modified>
</cp:coreProperties>
</file>